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des Log" sheetId="1" state="visible" r:id="rId3"/>
    <sheet name="Reproducibility Log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<sst xmlns="http://schemas.openxmlformats.org/spreadsheetml/2006/main" count="47" uniqueCount="37">
  <si>
    <t xml:space="preserve">Trade ID</t>
  </si>
  <si>
    <t xml:space="preserve">Fecha</t>
  </si>
  <si>
    <t xml:space="preserve">Símbolo</t>
  </si>
  <si>
    <t xml:space="preserve">Sesión</t>
  </si>
  <si>
    <t xml:space="preserve">Régimen</t>
  </si>
  <si>
    <t xml:space="preserve">Gravity</t>
  </si>
  <si>
    <t xml:space="preserve">Velocity</t>
  </si>
  <si>
    <t xml:space="preserve">HTF Bias</t>
  </si>
  <si>
    <t xml:space="preserve">Air Pocket</t>
  </si>
  <si>
    <t xml:space="preserve">MAE (pts)</t>
  </si>
  <si>
    <t xml:space="preserve">MFE (pts)</t>
  </si>
  <si>
    <t xml:space="preserve">Result (R)</t>
  </si>
  <si>
    <t xml:space="preserve">Notas</t>
  </si>
  <si>
    <t xml:space="preserve">001</t>
  </si>
  <si>
    <t xml:space="preserve">2026-06-18</t>
  </si>
  <si>
    <t xml:space="preserve">US30</t>
  </si>
  <si>
    <t xml:space="preserve">NY</t>
  </si>
  <si>
    <t xml:space="preserve">Crime Scene #001 - ejemplo base</t>
  </si>
  <si>
    <t xml:space="preserve">TOTALS</t>
  </si>
  <si>
    <t xml:space="preserve">Variable</t>
  </si>
  <si>
    <t xml:space="preserve">M1</t>
  </si>
  <si>
    <t xml:space="preserve">M2</t>
  </si>
  <si>
    <t xml:space="preserve">Diff</t>
  </si>
  <si>
    <t xml:space="preserve">Threshold</t>
  </si>
  <si>
    <t xml:space="preserve">Estado</t>
  </si>
  <si>
    <t xml:space="preserve">Fecha Test</t>
  </si>
  <si>
    <t xml:space="preserve">gravity</t>
  </si>
  <si>
    <t xml:space="preserve">Pendiente segunda medición</t>
  </si>
  <si>
    <t xml:space="preserve">velocity</t>
  </si>
  <si>
    <t xml:space="preserve">air_pocket</t>
  </si>
  <si>
    <t xml:space="preserve">NBA Labs — Power 5 Tracker</t>
  </si>
  <si>
    <t xml:space="preserve">Total Trades</t>
  </si>
  <si>
    <t xml:space="preserve">Avg Gravity</t>
  </si>
  <si>
    <t xml:space="preserve">Avg Velocity</t>
  </si>
  <si>
    <t xml:space="preserve">Avg Air Pocket</t>
  </si>
  <si>
    <t xml:space="preserve">Avg Result (R)</t>
  </si>
  <si>
    <t xml:space="preserve">Win Rate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</si>
</sst>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0FA"/>
        <bgColor rgb="FFE2EFDA"/>
      </patternFill>
    </fill>
    <fill>
      <patternFill patternType="solid">
        <fgColor rgb="FFE2EFDA"/>
        <bgColor rgb="FFEBF0FA"/>
      </patternFill>
    </fill>
    <fill>
      <patternFill patternType="solid">
        <fgColor rgb="FFD9E1F2"/>
        <bgColor rgb="FFE2EFDA"/>
      </patternFill>
    </fill>
    <fill>
      <patternFill patternType="solid">
        <fgColor rgb="FFFFFFFF"/>
        <bgColor rgb="FFEBF0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/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0F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9"/>
    <col collapsed="false" customWidth="true" hidden="false" outlineLevel="0" max="8" min="6" style="0" width="10"/>
    <col collapsed="false" customWidth="true" hidden="false" outlineLevel="0" max="11" min="9" style="0" width="11"/>
    <col collapsed="false" customWidth="true" hidden="false" outlineLevel="0" max="12" min="12" style="0" width="12"/>
    <col collapsed="false" customWidth="true" hidden="false" outlineLevel="0" max="13" min="13" style="0" width="35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n">
        <v>3</v>
      </c>
      <c r="F2" s="2" t="n">
        <v>85</v>
      </c>
      <c r="G2" s="2" t="n">
        <v>78</v>
      </c>
      <c r="H2" s="2" t="n">
        <v>1</v>
      </c>
      <c r="I2" s="2" t="n">
        <v>72</v>
      </c>
      <c r="J2" s="2" t="n">
        <v>8</v>
      </c>
      <c r="K2" s="2" t="n">
        <v>65</v>
      </c>
      <c r="L2" s="3" t="n">
        <v>2.5</v>
      </c>
      <c r="M2" s="4" t="s">
        <v>17</v>
      </c>
    </row>
    <row r="3" customFormat="false" ht="15" hidden="false" customHeight="false" outlineLevel="0" collapsed="false">
      <c r="A3" s="5" t="s">
        <v>18</v>
      </c>
      <c r="B3" s="6"/>
      <c r="C3" s="6"/>
      <c r="D3" s="6"/>
      <c r="E3" s="6"/>
      <c r="F3" s="7" t="n">
        <f aca="false">AVERAGE(F2)</f>
        <v>85</v>
      </c>
      <c r="G3" s="7" t="n">
        <f aca="false">AVERAGE(G2)</f>
        <v>78</v>
      </c>
      <c r="H3" s="7" t="n">
        <f aca="false">AVERAGE(H2)</f>
        <v>1</v>
      </c>
      <c r="I3" s="7" t="n">
        <f aca="false">AVERAGE(I2)</f>
        <v>72</v>
      </c>
      <c r="J3" s="7" t="n">
        <f aca="false">AVERAGE(J2)</f>
        <v>8</v>
      </c>
      <c r="K3" s="7" t="n">
        <f aca="false">AVERAGE(K2)</f>
        <v>65</v>
      </c>
      <c r="L3" s="8" t="n">
        <f aca="false">AVERAGE(L2)</f>
        <v>2.5</v>
      </c>
      <c r="M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5" min="3" style="0" width="8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9" t="s">
        <v>0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12</v>
      </c>
    </row>
    <row r="2" customFormat="false" ht="15" hidden="false" customHeight="false" outlineLevel="0" collapsed="false">
      <c r="A2" s="2" t="s">
        <v>13</v>
      </c>
      <c r="B2" s="2" t="s">
        <v>26</v>
      </c>
      <c r="C2" s="2" t="n">
        <v>85</v>
      </c>
      <c r="D2" s="2"/>
      <c r="E2" s="2"/>
      <c r="F2" s="2" t="n">
        <v>15</v>
      </c>
      <c r="G2" s="2"/>
      <c r="H2" s="2" t="s">
        <v>14</v>
      </c>
      <c r="I2" s="10" t="s">
        <v>27</v>
      </c>
    </row>
    <row r="3" customFormat="false" ht="15" hidden="false" customHeight="false" outlineLevel="0" collapsed="false">
      <c r="A3" s="11" t="s">
        <v>13</v>
      </c>
      <c r="B3" s="11" t="s">
        <v>28</v>
      </c>
      <c r="C3" s="11" t="n">
        <v>78</v>
      </c>
      <c r="D3" s="11"/>
      <c r="E3" s="11"/>
      <c r="F3" s="11" t="n">
        <v>15</v>
      </c>
      <c r="G3" s="11"/>
      <c r="H3" s="11" t="s">
        <v>14</v>
      </c>
      <c r="I3" s="12" t="s">
        <v>27</v>
      </c>
    </row>
    <row r="4" customFormat="false" ht="15" hidden="false" customHeight="false" outlineLevel="0" collapsed="false">
      <c r="A4" s="2" t="s">
        <v>13</v>
      </c>
      <c r="B4" s="2" t="s">
        <v>29</v>
      </c>
      <c r="C4" s="2" t="n">
        <v>72</v>
      </c>
      <c r="D4" s="2"/>
      <c r="E4" s="2"/>
      <c r="F4" s="2" t="n">
        <v>15</v>
      </c>
      <c r="G4" s="2"/>
      <c r="H4" s="2" t="s">
        <v>14</v>
      </c>
      <c r="I4" s="1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2" style="0" width="20"/>
  </cols>
  <sheetData>
    <row r="2" customFormat="false" ht="19.7" hidden="false" customHeight="false" outlineLevel="0" collapsed="false">
      <c r="B2" s="13" t="s">
        <v>30</v>
      </c>
    </row>
    <row r="4" customFormat="false" ht="15" hidden="false" customHeight="false" outlineLevel="0" collapsed="false">
      <c r="B4" s="14" t="s">
        <v>31</v>
      </c>
      <c r="C4" s="15" t="n">
        <f aca="false">COUNTA('Trades Log'!A2:A1000)</f>
        <v>2</v>
      </c>
    </row>
    <row r="5" customFormat="false" ht="15" hidden="false" customHeight="false" outlineLevel="0" collapsed="false">
      <c r="B5" s="14" t="s">
        <v>32</v>
      </c>
      <c r="C5" s="15" t="n">
        <f aca="false">IFERROR(AVERAGE('Trades Log'!F2:F1000),"-")</f>
        <v>85</v>
      </c>
    </row>
    <row r="6" customFormat="false" ht="15" hidden="false" customHeight="false" outlineLevel="0" collapsed="false">
      <c r="B6" s="14" t="s">
        <v>33</v>
      </c>
      <c r="C6" s="15" t="n">
        <f aca="false">IFERROR(AVERAGE('Trades Log'!G2:G1000),"-")</f>
        <v>78</v>
      </c>
    </row>
    <row r="7" customFormat="false" ht="15" hidden="false" customHeight="false" outlineLevel="0" collapsed="false">
      <c r="B7" s="14" t="s">
        <v>34</v>
      </c>
      <c r="C7" s="15" t="n">
        <f aca="false">IFERROR(AVERAGE('Trades Log'!I2:I1000),"-")</f>
        <v>72</v>
      </c>
    </row>
    <row r="8" customFormat="false" ht="15" hidden="false" customHeight="false" outlineLevel="0" collapsed="false">
      <c r="B8" s="14" t="s">
        <v>35</v>
      </c>
      <c r="C8" s="15" t="n">
        <f aca="false">IFERROR(AVERAGE('Trades Log'!L2:L1000),"-")</f>
        <v>2.5</v>
      </c>
    </row>
    <row r="9" customFormat="false" ht="15" hidden="false" customHeight="false" outlineLevel="0" collapsed="false">
      <c r="B9" s="14" t="s">
        <v>36</v>
      </c>
      <c r="C9" s="16" t="n">
        <f aca="false">IFERROR(COUNTIF('Trades Log'!L2:L1000,"&gt;0")/COUNTA('Trades Log'!L2:L1000),"-")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2026-06-19T09:32:03Z</dcterms:created>
  <dc:creator>openpyxl</dc:creator>
  <dc:description/>
  <dc:language>en-US</dc:language>
  <cp:lastModifiedBy/>
  <dcterms:modified xsi:type="dcterms:W3CDTF">2026-06-19T09:32:03Z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